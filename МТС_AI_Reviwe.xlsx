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nil\Desktop\"/>
    </mc:Choice>
  </mc:AlternateContent>
  <xr:revisionPtr revIDLastSave="0" documentId="13_ncr:1_{59151740-7CF9-494D-936F-CB71FC6895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База ставок" sheetId="4" r:id="rId7"/>
    <sheet name="Исходные данные" sheetId="3" r:id="rId1"/>
    <sheet name="Экономический эффект" sheetId="1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<sst xmlns="http://schemas.openxmlformats.org/spreadsheetml/2006/main" count="22" uniqueCount="16">
  <si>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Показатель</t>
  </si>
  <si>
    <t>До</t>
  </si>
  <si>
    <t>После</t>
  </si>
  <si>
    <t>Доля ТЗ, требующих ревью</t>
  </si>
  <si>
    <t>ТЗ на разработку/доработку, шт.</t>
  </si>
  <si>
    <t>Трдозатраты аналитика, ч/ч</t>
  </si>
  <si>
    <t>Стоимость часа аналитика</t>
  </si>
  <si>
    <t>Стоимость часа разработчика</t>
  </si>
  <si>
    <t>Показатель (мес.)</t>
  </si>
  <si>
    <t>Стоимость исправления одного ТЗ</t>
  </si>
  <si>
    <t>Стоимость исправления ТЗ (мес.)</t>
  </si>
  <si>
    <t>Трдозатраты разработчика, ч/ч</t>
  </si>
  <si>
    <t>Эффект</t>
  </si>
  <si>
    <t>Значение</t>
  </si>
  <si>
    <t>Сокращение трудозатрат аналитика</t>
  </si>
  <si>
    <t>Сокращение трудозатрат разработчика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</si>
</sst>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2" applyFont="1"/>
    <xf numFmtId="44" fontId="0" fillId="0" borderId="0" xfId="1" applyFont="1"/>
    <xf numFmtId="44" fontId="0" fillId="0" borderId="0" xfId="0" applyNumberFormat="1"/>
    <xf numFmtId="0" fontId="2" fillId="0" borderId="0" xfId="0" applyFont="1"/>
    <xf numFmtId="2" fontId="0" fillId="0" borderId="0" xfId="0" applyNumberFormat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8A51-B44C-4635-84ED-730A5CFCC9C3}">
  <dimension ref="A1:B9"/>
  <sheetViews>
    <sheetView tabSelected="1" workbookViewId="0">
      <selection activeCell="D19" sqref="D19"/>
    </sheetView>
  </sheetViews>
  <sheetFormatPr defaultRowHeight="14.4" x14ac:dyDescent="0.3"/>
  <cols>
    <col min="1" max="1" width="34.5546875" bestFit="1" customWidth="1"/>
    <col min="2" max="2" width="10.6640625" bestFit="1" customWidth="1"/>
  </cols>
  <sheetData>
    <row r="1" spans="1:2" x14ac:dyDescent="0.3">
      <c r="A1" s="4" t="s">
        <v>0</v>
      </c>
      <c r="B1" s="4" t="s">
        <v>13</v>
      </c>
    </row>
    <row r="2" spans="1:2" x14ac:dyDescent="0.3">
      <c r="A2" t="s">
        <v>4</v>
      </c>
      <c r="B2">
        <v>10</v>
      </c>
    </row>
    <row r="3" spans="1:2" x14ac:dyDescent="0.3">
      <c r="A3" t="s">
        <v>3</v>
      </c>
      <c r="B3" s="1">
        <v>0.4</v>
      </c>
    </row>
    <row r="4" spans="1:2" x14ac:dyDescent="0.3">
      <c r="A4" t="s">
        <v>5</v>
      </c>
      <c r="B4">
        <v>2</v>
      </c>
    </row>
    <row r="5" spans="1:2" x14ac:dyDescent="0.3">
      <c r="A5" t="s">
        <v>11</v>
      </c>
      <c r="B5">
        <v>1</v>
      </c>
    </row>
    <row r="6" spans="1:2" x14ac:dyDescent="0.3">
      <c r="A6" t="s">
        <v>6</v>
      </c>
      <c r="B6" s="2">
        <f>'База ставок'!B7</f>
        <v>1617.0</v>
      </c>
    </row>
    <row r="7" spans="1:2" x14ac:dyDescent="0.3">
      <c r="A7" t="s">
        <v>7</v>
      </c>
      <c r="B7" s="2">
        <f>'База ставок'!B8</f>
        <v>1747.0</v>
      </c>
    </row>
    <row r="8" spans="1:2" x14ac:dyDescent="0.3">
      <c r="A8" t="s">
        <v>14</v>
      </c>
      <c r="B8" s="1">
        <v>0.8</v>
      </c>
    </row>
    <row r="9" spans="1:2" x14ac:dyDescent="0.3">
      <c r="A9" t="s">
        <v>15</v>
      </c>
      <c r="B9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C8" sqref="C8"/>
    </sheetView>
  </sheetViews>
  <sheetFormatPr defaultRowHeight="14.4" x14ac:dyDescent="0.3"/>
  <cols>
    <col min="1" max="1" width="32" bestFit="1" customWidth="1"/>
    <col min="2" max="3" width="11.6640625" bestFit="1" customWidth="1"/>
  </cols>
  <sheetData>
    <row r="1" spans="1:3" x14ac:dyDescent="0.3">
      <c r="A1" s="4" t="s">
        <v>8</v>
      </c>
      <c r="B1" s="4" t="s">
        <v>1</v>
      </c>
      <c r="C1" s="4" t="s">
        <v>2</v>
      </c>
    </row>
    <row r="2" spans="1:3" x14ac:dyDescent="0.3">
      <c r="A2" t="s">
        <v>4</v>
      </c>
      <c r="B2">
        <v>10</v>
      </c>
      <c r="C2">
        <f>B2</f>
        <v>10</v>
      </c>
    </row>
    <row r="3" spans="1:3" x14ac:dyDescent="0.3">
      <c r="A3" t="s">
        <v>3</v>
      </c>
      <c r="B3" s="1">
        <v>0.4</v>
      </c>
      <c r="C3" s="1">
        <f>B3*0.2</f>
        <v>8.0000000000000016E-2</v>
      </c>
    </row>
    <row r="4" spans="1:3" x14ac:dyDescent="0.3">
      <c r="A4" t="s">
        <v>5</v>
      </c>
      <c r="B4">
        <v>2</v>
      </c>
      <c r="C4" s="5">
        <f>(1-'Исходные данные'!B8)*B4</f>
        <v>0.39999999999999991</v>
      </c>
    </row>
    <row r="5" spans="1:3" x14ac:dyDescent="0.3">
      <c r="A5" t="s">
        <v>11</v>
      </c>
      <c r="B5">
        <v>1</v>
      </c>
      <c r="C5" s="5">
        <f>(1-'Исходные данные'!B9)*B5</f>
        <v>0</v>
      </c>
    </row>
    <row r="6" spans="1:3" x14ac:dyDescent="0.3">
      <c r="A6" t="s">
        <v>6</v>
      </c>
      <c r="B6" s="2">
        <f>'Исходные данные'!B6</f>
        <v>1617.0</v>
      </c>
      <c r="C6" s="2">
        <f>B6</f>
        <v>1617.0</v>
      </c>
    </row>
    <row r="7" spans="1:3" x14ac:dyDescent="0.3">
      <c r="A7" t="s">
        <v>7</v>
      </c>
      <c r="B7" s="2">
        <f>'Исходные данные'!B7</f>
        <v>1747.0</v>
      </c>
      <c r="C7" s="2">
        <f>B7</f>
        <v>1747.0</v>
      </c>
    </row>
    <row r="8" spans="1:3" x14ac:dyDescent="0.3">
      <c r="A8" t="s">
        <v>9</v>
      </c>
      <c r="B8" s="3">
        <f>B5*B7+B4*B6</f>
        <v>4981.0</v>
      </c>
      <c r="C8" s="3">
        <f>C5*C7+C4*C6</f>
        <v>646.7999999999998</v>
      </c>
    </row>
    <row r="9" spans="1:3" x14ac:dyDescent="0.3">
      <c r="A9" t="s">
        <v>10</v>
      </c>
      <c r="B9" s="3">
        <f>B2*B3*B8</f>
        <v>19924.0</v>
      </c>
      <c r="C9" s="3">
        <f>C2*C3*C8</f>
        <v>517.4399999999999</v>
      </c>
    </row>
    <row r="10" spans="1:3" x14ac:dyDescent="0.3">
      <c r="A10" t="s">
        <v>12</v>
      </c>
      <c r="C10" s="3">
        <f>B9-C9</f>
        <v>19406.56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C12"/>
  <sheetViews>
    <sheetView workbookViewId="0"/>
  </sheetViews>
  <sheetFormatPr defaultRowHeight="14.4"/>
  <cols>
    <col min="1" max="1" width="52" customWidth="1"/>
    <col min="2" max="2" width="14" customWidth="1"/>
    <col min="3" max="3" width="72" customWidth="1"/>
  </cols>
  <sheetData>
    <row r="1" spans="1:3">
      <c r="A1" s="4" t="inlineStr">
        <is>
          <t xml:space="preserve">Показатель</t>
        </is>
      </c>
      <c r="B1" s="4" t="inlineStr">
        <is>
          <t xml:space="preserve">Значение</t>
        </is>
      </c>
      <c r="C1" s="4" t="inlineStr">
        <is>
          <t xml:space="preserve">Основание</t>
        </is>
      </c>
    </row>
    <row r="2" spans="1:3">
      <c r="A2" t="inlineStr">
        <is>
          <t xml:space="preserve">Медианная зарплата Middle системного аналитика, ₽/мес до НДФЛ</t>
        </is>
      </c>
      <c r="B2" s="2">
        <v>204441.0</v>
      </c>
      <c r="C2" t="inlineStr">
        <is>
          <t xml:space="preserve">Хабр Карьера, страница «Системный аналитик, Middle», 1 219 анкет; сверено 2026-09-05</t>
        </is>
      </c>
    </row>
    <row r="3" spans="1:3">
      <c r="A3" t="inlineStr">
        <is>
          <t xml:space="preserve">Медианная зарплата Middle бэкенд-разработчика, ₽/мес до НДФЛ</t>
        </is>
      </c>
      <c r="B3" s="2">
        <v>220833.0</v>
      </c>
      <c r="C3" t="inlineStr">
        <is>
          <t xml:space="preserve">Хабр Карьера, страница «Бэкенд разработчик, Middle», 3 449 анкет; сверено 2026-09-05</t>
        </is>
      </c>
    </row>
    <row r="4" spans="1:3">
      <c r="A4" t="inlineStr">
        <is>
          <t xml:space="preserve">Ставка страховых взносов работодателя</t>
        </is>
      </c>
      <c r="B4" s="1">
        <v>0.3</v>
      </c>
      <c r="C4" t="inlineStr">
        <is>
          <t xml:space="preserve">Единый тариф 30 % до предельной базы; для аккредитованной ИТ-компании ставится 7,6 %</t>
        </is>
      </c>
    </row>
    <row r="5" spans="1:3">
      <c r="A5" t="inlineStr">
        <is>
          <t xml:space="preserve">Годовая норма рабочего времени, ч</t>
        </is>
      </c>
      <c r="B5">
        <v>1972.0</v>
      </c>
      <c r="C5" t="inlineStr">
        <is>
          <t xml:space="preserve">Производственный календарь 2026, 40-часовая неделя, 247 рабочих дней</t>
        </is>
      </c>
    </row>
    <row r="6" spans="1:3">
      <c r="A6" t="inlineStr">
        <is>
          <t xml:space="preserve">Среднемесячная норма рабочего времени, ч</t>
        </is>
      </c>
      <c r="B6" s="5">
        <f>B5/12</f>
        <v>164.33333333333334</v>
      </c>
      <c r="C6" t="inlineStr">
        <is>
          <t xml:space="preserve">Годовая норма, делённая на 12</t>
        </is>
      </c>
    </row>
    <row r="7" spans="1:3">
      <c r="A7" t="inlineStr">
        <is>
          <t xml:space="preserve">Стоимость часа аналитика</t>
        </is>
      </c>
      <c r="B7" s="2">
        <f>ROUND(B2*(1+B4)/B6,0)</f>
        <v>1617.0</v>
      </c>
      <c r="C7" t="inlineStr">
        <is>
          <t xml:space="preserve">Зарплата с взносами, делённая на месячную норму часов</t>
        </is>
      </c>
    </row>
    <row r="8" spans="1:3">
      <c r="A8" t="inlineStr">
        <is>
          <t xml:space="preserve">Стоимость часа разработчика</t>
        </is>
      </c>
      <c r="B8" s="2">
        <f>ROUND(B3*(1+B4)/B6,0)</f>
        <v>1747.0</v>
      </c>
      <c r="C8" t="inlineStr">
        <is>
          <t xml:space="preserve">Зарплата с взносами, делённая на месячную норму часов</t>
        </is>
      </c>
    </row>
    <row r="10" spans="1:3">
      <c r="A10" t="inlineStr">
        <is>
          <t xml:space="preserve">Стоимость часа = медианная зарплата × (1 + ставка взносов) ÷ среднемесячная норма часов. Это полная стоимость часа для работодателя, а не выплата сотруднику.</t>
        </is>
      </c>
    </row>
    <row r="11" spans="1:3">
      <c r="A11" t="inlineStr">
        <is>
          <t xml:space="preserve">Премии, накладные расходы, отпускные сверх нормы и региональные надбавки в расчёт не входят.</t>
        </is>
      </c>
    </row>
    <row r="12" spans="1:3">
      <c r="A12" t="inlineStr">
        <is>
          <t xml:space="preserve">Значения являются рыночными медианами, а не подтверждёнными ставками MTS. Разбор и ограничения — knowledge/economics.md.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База ставок</vt:lpstr>
      <vt:lpstr>Исходные данные</vt:lpstr>
      <vt:lpstr>Экономический эффект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Данила Сараев</dc:creator>
  <cp:lastModifiedBy>Сараев Данила</cp:lastModifiedBy>
  <dcterms:created xsi:type="dcterms:W3CDTF">2015-06-05T18:19:34Z</dcterms:created>
  <dcterms:modified xsi:type="dcterms:W3CDTF">2026-09-05T14:08:49Z</dcterms:modified>
</cp:coreProperties>
</file>